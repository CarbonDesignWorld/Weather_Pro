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Icon Inventory" sheetId="2" r:id="rId6"/>
    <sheet state="visible" name="Condition Matrix" sheetId="3" r:id="rId7"/>
  </sheets>
  <definedNames>
    <definedName hidden="1" localSheetId="1" name="_xlnm._FilterDatabase">'Icon Inventory'!$A$1:$J$24</definedName>
    <definedName hidden="1" localSheetId="2" name="_xlnm._FilterDatabase">'Condition Matrix'!$A$1:$M$24</definedName>
  </definedNames>
  <calcPr/>
</workbook>
</file>

<file path=xl/sharedStrings.xml><?xml version="1.0" encoding="utf-8"?>
<sst xmlns="http://schemas.openxmlformats.org/spreadsheetml/2006/main" count="300" uniqueCount="112">
  <si>
    <t>Weather app icon inventory</t>
  </si>
  <si>
    <t>t</t>
  </si>
  <si>
    <t>Icon Name</t>
  </si>
  <si>
    <t>ID</t>
  </si>
  <si>
    <t>What this is</t>
  </si>
  <si>
    <t>Section</t>
  </si>
  <si>
    <t>Type</t>
  </si>
  <si>
    <t>Triggering Conditions</t>
  </si>
  <si>
    <t>Reuse Count</t>
  </si>
  <si>
    <t>Build Priority</t>
  </si>
  <si>
    <t>Needs Negation</t>
  </si>
  <si>
    <t>Cold</t>
  </si>
  <si>
    <t>Status</t>
  </si>
  <si>
    <t>Cool</t>
  </si>
  <si>
    <t>23 candidate icons for the wear / bring / don't sections, mapped to the weather conditions that trigger them.</t>
  </si>
  <si>
    <t>Notes</t>
  </si>
  <si>
    <t>Hot</t>
  </si>
  <si>
    <t>Rain</t>
  </si>
  <si>
    <t>Snow/Ice</t>
  </si>
  <si>
    <t>Wind</t>
  </si>
  <si>
    <t>Icon Inventory</t>
  </si>
  <si>
    <t>The main filterable list. Use the header dropdowns to filter by Section, Build Priority or Status.</t>
  </si>
  <si>
    <t>Condition Matrix</t>
  </si>
  <si>
    <t>High UV</t>
  </si>
  <si>
    <t>Same icons as rows, weather conditions as columns. An X means that condition triggers that icon. This is where reuse becomes visible.</t>
  </si>
  <si>
    <t>Style Decisions</t>
  </si>
  <si>
    <t>IC-001</t>
  </si>
  <si>
    <t>Air Quality</t>
  </si>
  <si>
    <t>The choices to settle once, before drawing. Fill in the Chosen column.</t>
  </si>
  <si>
    <t>Fog</t>
  </si>
  <si>
    <t>Cells to edit</t>
  </si>
  <si>
    <t>Yellow cells only: Status (Icon Inventory, column I), and Chosen / Status (Style Decisions).</t>
  </si>
  <si>
    <t>Pollen</t>
  </si>
  <si>
    <t>Notes is free text. Reuse Count is a formula reading the matrix, so edit the X marks, not the count.</t>
  </si>
  <si>
    <t>Status vocabulary</t>
  </si>
  <si>
    <t>Not started  &gt;  Sketched  &gt;  Drafted  &gt;  Reviewed  &gt;  Final</t>
  </si>
  <si>
    <t>Example row</t>
  </si>
  <si>
    <t>IC-021 | Umbrella | Bring | Object | Rain | 1 | 1 | No | Drafted | Reads well at 20px</t>
  </si>
  <si>
    <t>Heavy coat</t>
  </si>
  <si>
    <t>1 = build first (covers most days).  2 = high reuse or hard case, build second.  3 = long tail.</t>
  </si>
  <si>
    <t>Assumption</t>
  </si>
  <si>
    <t>Condition list and priority tiers were set in conversation, not from usage data. Re-rank once you have real weather frequencies for your users' regions.</t>
  </si>
  <si>
    <t>Wear</t>
  </si>
  <si>
    <t>X</t>
  </si>
  <si>
    <t>Object</t>
  </si>
  <si>
    <t>Cold, Snow/Ice</t>
  </si>
  <si>
    <t>No</t>
  </si>
  <si>
    <t>Complete</t>
  </si>
  <si>
    <t>IC-002</t>
  </si>
  <si>
    <t>Light jacket</t>
  </si>
  <si>
    <t>IC-003</t>
  </si>
  <si>
    <t>Sweater / long sleeves</t>
  </si>
  <si>
    <t>IC-004</t>
  </si>
  <si>
    <t>T-shirt</t>
  </si>
  <si>
    <t>IC-005</t>
  </si>
  <si>
    <t>Shorts</t>
  </si>
  <si>
    <t>IC-006</t>
  </si>
  <si>
    <t>Long pants</t>
  </si>
  <si>
    <t>IC-007</t>
  </si>
  <si>
    <t>Beanie</t>
  </si>
  <si>
    <t>Cool, Cold, High UV</t>
  </si>
  <si>
    <t>IC-008</t>
  </si>
  <si>
    <t>Sun hat</t>
  </si>
  <si>
    <t>IC-009</t>
  </si>
  <si>
    <t>Gloves</t>
  </si>
  <si>
    <t>IC-010</t>
  </si>
  <si>
    <t>Scarf</t>
  </si>
  <si>
    <t>IC-011</t>
  </si>
  <si>
    <t>Insulated boots</t>
  </si>
  <si>
    <t>Double duty: warmth and UV coverage. Same glyph, different reason.</t>
  </si>
  <si>
    <t>IC-012</t>
  </si>
  <si>
    <t>Waterproof shoes</t>
  </si>
  <si>
    <t>IC-013</t>
  </si>
  <si>
    <t>Closed shoes</t>
  </si>
  <si>
    <t>IC-014</t>
  </si>
  <si>
    <t>Sandals</t>
  </si>
  <si>
    <t>IC-015</t>
  </si>
  <si>
    <t>Sunglasses</t>
  </si>
  <si>
    <t>IC-016</t>
  </si>
  <si>
    <t>Rain jacket</t>
  </si>
  <si>
    <t>IC-017</t>
  </si>
  <si>
    <t>Windbreaker</t>
  </si>
  <si>
    <t>IC-018</t>
  </si>
  <si>
    <t>Warm socks</t>
  </si>
  <si>
    <t>IC-021</t>
  </si>
  <si>
    <t>Umbrella</t>
  </si>
  <si>
    <t>Cold, Cool</t>
  </si>
  <si>
    <t>IC-022</t>
  </si>
  <si>
    <t>Water bottle</t>
  </si>
  <si>
    <t>IC-023</t>
  </si>
  <si>
    <t>Sunscreen</t>
  </si>
  <si>
    <t>IC-024</t>
  </si>
  <si>
    <t>Lip balm</t>
  </si>
  <si>
    <t>IC-025</t>
  </si>
  <si>
    <t>Extra layer</t>
  </si>
  <si>
    <t>Merge candidate: rarely changes behaviour on its own.</t>
  </si>
  <si>
    <t>Icons per condition</t>
  </si>
  <si>
    <t>Merge candidate: almost always co-occurs with heavy coat.</t>
  </si>
  <si>
    <t>Hot, High UV</t>
  </si>
  <si>
    <t>Cold, Wind</t>
  </si>
  <si>
    <t>Merge candidate: co-occurs with coat and beanie.</t>
  </si>
  <si>
    <t>Rain shoes</t>
  </si>
  <si>
    <t>Consider merging with insulated boots if silhouettes are close.</t>
  </si>
  <si>
    <t>Cool, Cold</t>
  </si>
  <si>
    <t>Merge candidate: low behavioural value vs sandals.</t>
  </si>
  <si>
    <t>Merge candidate: pairs with closed shoes as one footwear decision.</t>
  </si>
  <si>
    <t>Hot, High UV, Snow/Ice</t>
  </si>
  <si>
    <t>Snow trigger is glare, not temperature.</t>
  </si>
  <si>
    <t>Silhouette must read differently from rain jacket at 24px.</t>
  </si>
  <si>
    <t>Merge candidate: absorbed by insulated boots.</t>
  </si>
  <si>
    <t>Bring</t>
  </si>
  <si>
    <t>Hard case: means 'it will warm up later'. Time-shift is hard to draw.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</si>
</sst>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3B4D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B4D"/>
        <bgColor rgb="FF1F3B4D"/>
      </patternFill>
    </fill>
    <fill>
      <patternFill patternType="solid">
        <fgColor rgb="FFE3F0DC"/>
        <bgColor rgb="FFE3F0DC"/>
      </patternFill>
    </fill>
    <fill>
      <patternFill patternType="solid">
        <fgColor rgb="FF93C47D"/>
        <bgColor rgb="FF93C47D"/>
      </patternFill>
    </fill>
    <fill>
      <patternFill patternType="solid">
        <fgColor rgb="FFDCE6F0"/>
        <bgColor rgb="FFDCE6F0"/>
      </patternFill>
    </fill>
  </fills>
  <borders count="2">
    <border/>
    <border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3" fontId="4" numFmtId="0" xfId="0" applyAlignment="1" applyBorder="1" applyFill="1" applyFont="1">
      <alignment horizontal="left" shrinkToFit="0" vertical="top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0"/>
    </xf>
    <xf borderId="1" fillId="5" fontId="4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readingOrder="0" shrinkToFit="0" vertical="top" wrapText="0"/>
    </xf>
    <xf borderId="1" fillId="5" fontId="4" numFmtId="0" xfId="0" applyAlignment="1" applyBorder="1" applyFill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2.0"/>
    <col customWidth="1" min="3" max="26" width="8.71"/>
  </cols>
  <sheetData>
    <row r="1" ht="13.5" customHeight="1">
      <c r="A1" s="1" t="s">
        <v>0</v>
      </c>
      <c r="B1" s="3"/>
    </row>
    <row r="2" ht="13.5" customHeight="1">
      <c r="A2" s="4"/>
      <c r="B2" s="5"/>
    </row>
    <row r="3" ht="30.0" customHeight="1">
      <c r="A3" s="8" t="s">
        <v>4</v>
      </c>
      <c r="B3" s="9" t="s">
        <v>14</v>
      </c>
    </row>
    <row r="4" ht="13.5" customHeight="1">
      <c r="A4" s="4"/>
      <c r="B4" s="5"/>
    </row>
    <row r="5" ht="30.0" customHeight="1">
      <c r="A5" s="8" t="s">
        <v>20</v>
      </c>
      <c r="B5" s="5" t="s">
        <v>21</v>
      </c>
    </row>
    <row r="6" ht="30.0" customHeight="1">
      <c r="A6" s="8" t="s">
        <v>22</v>
      </c>
      <c r="B6" s="5" t="s">
        <v>24</v>
      </c>
    </row>
    <row r="7" ht="30.0" customHeight="1">
      <c r="A7" s="8" t="s">
        <v>25</v>
      </c>
      <c r="B7" s="5" t="s">
        <v>28</v>
      </c>
    </row>
    <row r="8" ht="13.5" customHeight="1">
      <c r="A8" s="4"/>
      <c r="B8" s="5"/>
    </row>
    <row r="9" ht="30.0" customHeight="1">
      <c r="A9" s="8" t="s">
        <v>30</v>
      </c>
      <c r="B9" s="5" t="s">
        <v>31</v>
      </c>
    </row>
    <row r="10" ht="30.0" customHeight="1">
      <c r="A10" s="4"/>
      <c r="B10" s="5" t="s">
        <v>33</v>
      </c>
    </row>
    <row r="11" ht="13.5" customHeight="1">
      <c r="A11" s="4"/>
      <c r="B11" s="5"/>
    </row>
    <row r="12" ht="30.0" customHeight="1">
      <c r="A12" s="8" t="s">
        <v>34</v>
      </c>
      <c r="B12" s="5" t="s">
        <v>35</v>
      </c>
    </row>
    <row r="13" ht="13.5" customHeight="1">
      <c r="A13" s="4"/>
      <c r="B13" s="5"/>
    </row>
    <row r="14" ht="30.0" customHeight="1">
      <c r="A14" s="8" t="s">
        <v>36</v>
      </c>
      <c r="B14" s="5" t="s">
        <v>37</v>
      </c>
    </row>
    <row r="15" ht="13.5" customHeight="1">
      <c r="A15" s="4"/>
      <c r="B15" s="5"/>
    </row>
    <row r="16" ht="30.0" customHeight="1">
      <c r="A16" s="8" t="s">
        <v>9</v>
      </c>
      <c r="B16" s="5" t="s">
        <v>39</v>
      </c>
    </row>
    <row r="17" ht="13.5" customHeight="1">
      <c r="A17" s="4"/>
      <c r="B17" s="5"/>
    </row>
    <row r="18" ht="30.0" customHeight="1">
      <c r="A18" s="8" t="s">
        <v>40</v>
      </c>
      <c r="B18" s="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7.0"/>
    <col customWidth="1" min="3" max="3" width="13.86"/>
    <col customWidth="1" min="4" max="4" width="10.0"/>
    <col customWidth="1" min="5" max="5" width="30.0"/>
    <col customWidth="1" min="6" max="6" width="15.14"/>
    <col customWidth="1" min="7" max="7" width="13.86"/>
    <col customWidth="1" min="8" max="8" width="10.0"/>
    <col customWidth="1" min="9" max="9" width="14.0"/>
    <col customWidth="1" min="10" max="10" width="44.0"/>
    <col customWidth="1" min="11" max="26" width="8.71"/>
  </cols>
  <sheetData>
    <row r="1" ht="30.0" customHeight="1">
      <c r="A1" s="2" t="s">
        <v>1</v>
      </c>
      <c r="B1" s="6" t="s">
        <v>2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12</v>
      </c>
      <c r="J1" s="6" t="s">
        <v>15</v>
      </c>
    </row>
    <row r="2">
      <c r="A2" s="10" t="s">
        <v>26</v>
      </c>
      <c r="B2" s="11" t="s">
        <v>38</v>
      </c>
      <c r="C2" s="14" t="s">
        <v>42</v>
      </c>
      <c r="D2" s="11" t="s">
        <v>44</v>
      </c>
      <c r="E2" s="16" t="s">
        <v>45</v>
      </c>
      <c r="F2" s="10">
        <f>COUNTIF('Condition Matrix'!$C2:$L2,"X")</f>
        <v>2</v>
      </c>
      <c r="G2" s="10">
        <v>1.0</v>
      </c>
      <c r="H2" s="10" t="s">
        <v>46</v>
      </c>
      <c r="I2" s="17" t="s">
        <v>47</v>
      </c>
      <c r="J2" s="16"/>
    </row>
    <row r="3">
      <c r="A3" s="10" t="s">
        <v>48</v>
      </c>
      <c r="B3" s="11" t="s">
        <v>49</v>
      </c>
      <c r="C3" s="14" t="s">
        <v>42</v>
      </c>
      <c r="D3" s="11" t="s">
        <v>44</v>
      </c>
      <c r="E3" s="16" t="s">
        <v>13</v>
      </c>
      <c r="F3" s="10">
        <f>COUNTIF('Condition Matrix'!$C3:$L3,"X")</f>
        <v>1</v>
      </c>
      <c r="G3" s="10">
        <v>1.0</v>
      </c>
      <c r="H3" s="10" t="s">
        <v>46</v>
      </c>
      <c r="I3" s="17" t="s">
        <v>47</v>
      </c>
      <c r="J3" s="16"/>
    </row>
    <row r="4">
      <c r="A4" s="10" t="s">
        <v>50</v>
      </c>
      <c r="B4" s="11" t="s">
        <v>51</v>
      </c>
      <c r="C4" s="14" t="s">
        <v>42</v>
      </c>
      <c r="D4" s="11" t="s">
        <v>44</v>
      </c>
      <c r="E4" s="16" t="s">
        <v>60</v>
      </c>
      <c r="F4" s="10">
        <f>COUNTIF('Condition Matrix'!$C4:$L4,"X")</f>
        <v>3</v>
      </c>
      <c r="G4" s="10">
        <v>2.0</v>
      </c>
      <c r="H4" s="10" t="s">
        <v>46</v>
      </c>
      <c r="I4" s="17" t="s">
        <v>47</v>
      </c>
      <c r="J4" s="16" t="s">
        <v>69</v>
      </c>
    </row>
    <row r="5">
      <c r="A5" s="10" t="s">
        <v>52</v>
      </c>
      <c r="B5" s="11" t="s">
        <v>53</v>
      </c>
      <c r="C5" s="14" t="s">
        <v>42</v>
      </c>
      <c r="D5" s="11" t="s">
        <v>44</v>
      </c>
      <c r="E5" s="16" t="s">
        <v>16</v>
      </c>
      <c r="F5" s="10">
        <f>COUNTIF('Condition Matrix'!$C5:$L5,"X")</f>
        <v>1</v>
      </c>
      <c r="G5" s="10">
        <v>1.0</v>
      </c>
      <c r="H5" s="10" t="s">
        <v>46</v>
      </c>
      <c r="I5" s="17" t="s">
        <v>47</v>
      </c>
      <c r="J5" s="16"/>
    </row>
    <row r="6">
      <c r="A6" s="10" t="s">
        <v>54</v>
      </c>
      <c r="B6" s="11" t="s">
        <v>55</v>
      </c>
      <c r="C6" s="14" t="s">
        <v>42</v>
      </c>
      <c r="D6" s="11" t="s">
        <v>44</v>
      </c>
      <c r="E6" s="16" t="s">
        <v>16</v>
      </c>
      <c r="F6" s="10">
        <f>COUNTIF('Condition Matrix'!$C6:$L6,"X")</f>
        <v>1</v>
      </c>
      <c r="G6" s="10">
        <v>3.0</v>
      </c>
      <c r="H6" s="10" t="s">
        <v>46</v>
      </c>
      <c r="I6" s="17" t="s">
        <v>47</v>
      </c>
      <c r="J6" s="16"/>
    </row>
    <row r="7">
      <c r="A7" s="10" t="s">
        <v>56</v>
      </c>
      <c r="B7" s="11" t="s">
        <v>57</v>
      </c>
      <c r="C7" s="14" t="s">
        <v>42</v>
      </c>
      <c r="D7" s="11" t="s">
        <v>44</v>
      </c>
      <c r="E7" s="16" t="s">
        <v>86</v>
      </c>
      <c r="F7" s="10">
        <f>COUNTIF('Condition Matrix'!$C7:$L7,"X")</f>
        <v>2</v>
      </c>
      <c r="G7" s="10">
        <v>3.0</v>
      </c>
      <c r="H7" s="10" t="s">
        <v>46</v>
      </c>
      <c r="I7" s="17" t="s">
        <v>47</v>
      </c>
      <c r="J7" s="16" t="s">
        <v>95</v>
      </c>
    </row>
    <row r="8">
      <c r="A8" s="10" t="s">
        <v>58</v>
      </c>
      <c r="B8" s="11" t="s">
        <v>59</v>
      </c>
      <c r="C8" s="14" t="s">
        <v>42</v>
      </c>
      <c r="D8" s="11" t="s">
        <v>44</v>
      </c>
      <c r="E8" s="16" t="s">
        <v>45</v>
      </c>
      <c r="F8" s="10">
        <f>COUNTIF('Condition Matrix'!$C8:$L8,"X")</f>
        <v>2</v>
      </c>
      <c r="G8" s="10">
        <v>3.0</v>
      </c>
      <c r="H8" s="10" t="s">
        <v>46</v>
      </c>
      <c r="I8" s="17" t="s">
        <v>47</v>
      </c>
      <c r="J8" s="16" t="s">
        <v>97</v>
      </c>
    </row>
    <row r="9">
      <c r="A9" s="10" t="s">
        <v>61</v>
      </c>
      <c r="B9" s="11" t="s">
        <v>62</v>
      </c>
      <c r="C9" s="14" t="s">
        <v>42</v>
      </c>
      <c r="D9" s="11" t="s">
        <v>44</v>
      </c>
      <c r="E9" s="16" t="s">
        <v>98</v>
      </c>
      <c r="F9" s="10">
        <f>COUNTIF('Condition Matrix'!$C9:$L9,"X")</f>
        <v>2</v>
      </c>
      <c r="G9" s="10">
        <v>1.0</v>
      </c>
      <c r="H9" s="10" t="s">
        <v>46</v>
      </c>
      <c r="I9" s="17" t="s">
        <v>47</v>
      </c>
      <c r="J9" s="16"/>
    </row>
    <row r="10">
      <c r="A10" s="10" t="s">
        <v>63</v>
      </c>
      <c r="B10" s="11" t="s">
        <v>64</v>
      </c>
      <c r="C10" s="14" t="s">
        <v>42</v>
      </c>
      <c r="D10" s="11" t="s">
        <v>44</v>
      </c>
      <c r="E10" s="16" t="s">
        <v>45</v>
      </c>
      <c r="F10" s="10">
        <f>COUNTIF('Condition Matrix'!$C10:$L10,"X")</f>
        <v>2</v>
      </c>
      <c r="G10" s="10">
        <v>1.0</v>
      </c>
      <c r="H10" s="10" t="s">
        <v>46</v>
      </c>
      <c r="I10" s="17" t="s">
        <v>47</v>
      </c>
      <c r="J10" s="16"/>
    </row>
    <row r="11">
      <c r="A11" s="10" t="s">
        <v>65</v>
      </c>
      <c r="B11" s="11" t="s">
        <v>66</v>
      </c>
      <c r="C11" s="14" t="s">
        <v>42</v>
      </c>
      <c r="D11" s="11" t="s">
        <v>44</v>
      </c>
      <c r="E11" s="16" t="s">
        <v>99</v>
      </c>
      <c r="F11" s="10">
        <f>COUNTIF('Condition Matrix'!$C11:$L11,"X")</f>
        <v>2</v>
      </c>
      <c r="G11" s="10">
        <v>3.0</v>
      </c>
      <c r="H11" s="10" t="s">
        <v>46</v>
      </c>
      <c r="I11" s="17" t="s">
        <v>47</v>
      </c>
      <c r="J11" s="16" t="s">
        <v>100</v>
      </c>
    </row>
    <row r="12">
      <c r="A12" s="10" t="s">
        <v>67</v>
      </c>
      <c r="B12" s="11" t="s">
        <v>68</v>
      </c>
      <c r="C12" s="14" t="s">
        <v>42</v>
      </c>
      <c r="D12" s="11" t="s">
        <v>44</v>
      </c>
      <c r="E12" s="16" t="s">
        <v>45</v>
      </c>
      <c r="F12" s="10">
        <f>COUNTIF('Condition Matrix'!$C12:$L12,"X")</f>
        <v>2</v>
      </c>
      <c r="G12" s="10">
        <v>1.0</v>
      </c>
      <c r="H12" s="10" t="s">
        <v>46</v>
      </c>
      <c r="I12" s="17" t="s">
        <v>47</v>
      </c>
      <c r="J12" s="16"/>
    </row>
    <row r="13">
      <c r="A13" s="10" t="s">
        <v>70</v>
      </c>
      <c r="B13" s="20" t="s">
        <v>101</v>
      </c>
      <c r="C13" s="14" t="s">
        <v>42</v>
      </c>
      <c r="D13" s="11" t="s">
        <v>44</v>
      </c>
      <c r="E13" s="16" t="s">
        <v>17</v>
      </c>
      <c r="F13" s="10">
        <f>COUNTIF('Condition Matrix'!$C13:$L13,"X")</f>
        <v>1</v>
      </c>
      <c r="G13" s="10">
        <v>2.0</v>
      </c>
      <c r="H13" s="10" t="s">
        <v>46</v>
      </c>
      <c r="I13" s="17" t="s">
        <v>47</v>
      </c>
      <c r="J13" s="16" t="s">
        <v>102</v>
      </c>
    </row>
    <row r="14">
      <c r="A14" s="10" t="s">
        <v>72</v>
      </c>
      <c r="B14" s="11" t="s">
        <v>73</v>
      </c>
      <c r="C14" s="14" t="s">
        <v>42</v>
      </c>
      <c r="D14" s="11" t="s">
        <v>44</v>
      </c>
      <c r="E14" s="16" t="s">
        <v>103</v>
      </c>
      <c r="F14" s="10">
        <f>COUNTIF('Condition Matrix'!$C14:$L14,"X")</f>
        <v>2</v>
      </c>
      <c r="G14" s="10">
        <v>3.0</v>
      </c>
      <c r="H14" s="10" t="s">
        <v>46</v>
      </c>
      <c r="I14" s="17" t="s">
        <v>47</v>
      </c>
      <c r="J14" s="16" t="s">
        <v>104</v>
      </c>
    </row>
    <row r="15">
      <c r="A15" s="10" t="s">
        <v>74</v>
      </c>
      <c r="B15" s="11" t="s">
        <v>75</v>
      </c>
      <c r="C15" s="14" t="s">
        <v>42</v>
      </c>
      <c r="D15" s="11" t="s">
        <v>44</v>
      </c>
      <c r="E15" s="16" t="s">
        <v>16</v>
      </c>
      <c r="F15" s="10">
        <f>COUNTIF('Condition Matrix'!$C15:$L15,"X")</f>
        <v>1</v>
      </c>
      <c r="G15" s="10">
        <v>3.0</v>
      </c>
      <c r="H15" s="10" t="s">
        <v>46</v>
      </c>
      <c r="I15" s="17" t="s">
        <v>47</v>
      </c>
      <c r="J15" s="16" t="s">
        <v>105</v>
      </c>
    </row>
    <row r="16">
      <c r="A16" s="10" t="s">
        <v>76</v>
      </c>
      <c r="B16" s="11" t="s">
        <v>77</v>
      </c>
      <c r="C16" s="14" t="s">
        <v>42</v>
      </c>
      <c r="D16" s="11" t="s">
        <v>44</v>
      </c>
      <c r="E16" s="16" t="s">
        <v>106</v>
      </c>
      <c r="F16" s="10">
        <f>COUNTIF('Condition Matrix'!$C16:$L16,"X")</f>
        <v>3</v>
      </c>
      <c r="G16" s="10">
        <v>1.0</v>
      </c>
      <c r="H16" s="10" t="s">
        <v>46</v>
      </c>
      <c r="I16" s="17" t="s">
        <v>47</v>
      </c>
      <c r="J16" s="16" t="s">
        <v>107</v>
      </c>
    </row>
    <row r="17">
      <c r="A17" s="10" t="s">
        <v>78</v>
      </c>
      <c r="B17" s="11" t="s">
        <v>79</v>
      </c>
      <c r="C17" s="14" t="s">
        <v>42</v>
      </c>
      <c r="D17" s="11" t="s">
        <v>44</v>
      </c>
      <c r="E17" s="16" t="s">
        <v>17</v>
      </c>
      <c r="F17" s="10">
        <f>COUNTIF('Condition Matrix'!$C17:$L17,"X")</f>
        <v>1</v>
      </c>
      <c r="G17" s="10">
        <v>2.0</v>
      </c>
      <c r="H17" s="10" t="s">
        <v>46</v>
      </c>
      <c r="I17" s="17" t="s">
        <v>47</v>
      </c>
      <c r="J17" s="16"/>
    </row>
    <row r="18">
      <c r="A18" s="10" t="s">
        <v>80</v>
      </c>
      <c r="B18" s="11" t="s">
        <v>81</v>
      </c>
      <c r="C18" s="14" t="s">
        <v>42</v>
      </c>
      <c r="D18" s="11" t="s">
        <v>44</v>
      </c>
      <c r="E18" s="16" t="s">
        <v>19</v>
      </c>
      <c r="F18" s="10">
        <f>COUNTIF('Condition Matrix'!$C18:$L18,"X")</f>
        <v>1</v>
      </c>
      <c r="G18" s="10">
        <v>2.0</v>
      </c>
      <c r="H18" s="10" t="s">
        <v>46</v>
      </c>
      <c r="I18" s="17" t="s">
        <v>47</v>
      </c>
      <c r="J18" s="16" t="s">
        <v>108</v>
      </c>
    </row>
    <row r="19">
      <c r="A19" s="10" t="s">
        <v>82</v>
      </c>
      <c r="B19" s="11" t="s">
        <v>83</v>
      </c>
      <c r="C19" s="14" t="s">
        <v>42</v>
      </c>
      <c r="D19" s="11" t="s">
        <v>44</v>
      </c>
      <c r="E19" s="16" t="s">
        <v>45</v>
      </c>
      <c r="F19" s="10">
        <f>COUNTIF('Condition Matrix'!$C19:$L19,"X")</f>
        <v>2</v>
      </c>
      <c r="G19" s="10">
        <v>3.0</v>
      </c>
      <c r="H19" s="10" t="s">
        <v>46</v>
      </c>
      <c r="I19" s="17" t="s">
        <v>47</v>
      </c>
      <c r="J19" s="16" t="s">
        <v>109</v>
      </c>
    </row>
    <row r="20" ht="15.75" customHeight="1">
      <c r="A20" s="10" t="s">
        <v>84</v>
      </c>
      <c r="B20" s="11" t="s">
        <v>85</v>
      </c>
      <c r="C20" s="21" t="s">
        <v>110</v>
      </c>
      <c r="D20" s="11" t="s">
        <v>44</v>
      </c>
      <c r="E20" s="16" t="s">
        <v>17</v>
      </c>
      <c r="F20" s="10">
        <f>COUNTIF('Condition Matrix'!$C20:$L20,"X")</f>
        <v>1</v>
      </c>
      <c r="G20" s="10">
        <v>1.0</v>
      </c>
      <c r="H20" s="10" t="s">
        <v>46</v>
      </c>
      <c r="I20" s="17" t="s">
        <v>47</v>
      </c>
      <c r="J20" s="16"/>
    </row>
    <row r="21" ht="15.75" customHeight="1">
      <c r="A21" s="10" t="s">
        <v>87</v>
      </c>
      <c r="B21" s="11" t="s">
        <v>88</v>
      </c>
      <c r="C21" s="21" t="s">
        <v>110</v>
      </c>
      <c r="D21" s="11" t="s">
        <v>44</v>
      </c>
      <c r="E21" s="16" t="s">
        <v>16</v>
      </c>
      <c r="F21" s="10">
        <f>COUNTIF('Condition Matrix'!$C21:$L21,"X")</f>
        <v>1</v>
      </c>
      <c r="G21" s="10">
        <v>1.0</v>
      </c>
      <c r="H21" s="10" t="s">
        <v>46</v>
      </c>
      <c r="I21" s="17" t="s">
        <v>47</v>
      </c>
      <c r="J21" s="16"/>
    </row>
    <row r="22" ht="15.75" customHeight="1">
      <c r="A22" s="10" t="s">
        <v>89</v>
      </c>
      <c r="B22" s="11" t="s">
        <v>90</v>
      </c>
      <c r="C22" s="21" t="s">
        <v>110</v>
      </c>
      <c r="D22" s="11" t="s">
        <v>44</v>
      </c>
      <c r="E22" s="16" t="s">
        <v>98</v>
      </c>
      <c r="F22" s="10">
        <f>COUNTIF('Condition Matrix'!$C22:$L22,"X")</f>
        <v>2</v>
      </c>
      <c r="G22" s="10">
        <v>1.0</v>
      </c>
      <c r="H22" s="10" t="s">
        <v>46</v>
      </c>
      <c r="I22" s="17" t="s">
        <v>47</v>
      </c>
      <c r="J22" s="16"/>
    </row>
    <row r="23" ht="15.75" customHeight="1">
      <c r="A23" s="10" t="s">
        <v>91</v>
      </c>
      <c r="B23" s="11" t="s">
        <v>92</v>
      </c>
      <c r="C23" s="21" t="s">
        <v>110</v>
      </c>
      <c r="D23" s="11" t="s">
        <v>44</v>
      </c>
      <c r="E23" s="16" t="s">
        <v>99</v>
      </c>
      <c r="F23" s="10">
        <f>COUNTIF('Condition Matrix'!$C23:$L23,"X")</f>
        <v>2</v>
      </c>
      <c r="G23" s="10">
        <v>3.0</v>
      </c>
      <c r="H23" s="10" t="s">
        <v>46</v>
      </c>
      <c r="I23" s="17" t="s">
        <v>47</v>
      </c>
      <c r="J23" s="16"/>
    </row>
    <row r="24" ht="15.75" customHeight="1">
      <c r="A24" s="10" t="s">
        <v>93</v>
      </c>
      <c r="B24" s="11" t="s">
        <v>94</v>
      </c>
      <c r="C24" s="21" t="s">
        <v>110</v>
      </c>
      <c r="D24" s="11" t="s">
        <v>44</v>
      </c>
      <c r="E24" s="16" t="s">
        <v>13</v>
      </c>
      <c r="F24" s="10">
        <f>COUNTIF('Condition Matrix'!$C24:$L24,"X")</f>
        <v>1</v>
      </c>
      <c r="G24" s="10">
        <v>2.0</v>
      </c>
      <c r="H24" s="10" t="s">
        <v>46</v>
      </c>
      <c r="I24" s="17" t="s">
        <v>47</v>
      </c>
      <c r="J24" s="16" t="s">
        <v>111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$A$1:$J$2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7.0"/>
    <col customWidth="1" min="3" max="12" width="11.0"/>
    <col customWidth="1" min="13" max="13" width="12.0"/>
    <col customWidth="1" min="14" max="26" width="8.71"/>
  </cols>
  <sheetData>
    <row r="1" ht="42.0" customHeight="1">
      <c r="A1" s="7" t="s">
        <v>3</v>
      </c>
      <c r="B1" s="7" t="s">
        <v>2</v>
      </c>
      <c r="C1" s="7" t="s">
        <v>11</v>
      </c>
      <c r="D1" s="7" t="s">
        <v>13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23</v>
      </c>
      <c r="J1" s="7" t="s">
        <v>27</v>
      </c>
      <c r="K1" s="7" t="s">
        <v>29</v>
      </c>
      <c r="L1" s="7" t="s">
        <v>32</v>
      </c>
      <c r="M1" s="7" t="s">
        <v>8</v>
      </c>
    </row>
    <row r="2">
      <c r="A2" s="12" t="s">
        <v>26</v>
      </c>
      <c r="B2" s="13" t="s">
        <v>38</v>
      </c>
      <c r="C2" s="15" t="s">
        <v>43</v>
      </c>
      <c r="D2" s="12"/>
      <c r="E2" s="12"/>
      <c r="F2" s="12"/>
      <c r="G2" s="15" t="s">
        <v>43</v>
      </c>
      <c r="H2" s="12"/>
      <c r="I2" s="12"/>
      <c r="J2" s="12"/>
      <c r="K2" s="12"/>
      <c r="L2" s="12"/>
      <c r="M2" s="12">
        <f t="shared" ref="M2:M24" si="1">COUNTIF($C2:$L2,"X")</f>
        <v>2</v>
      </c>
    </row>
    <row r="3">
      <c r="A3" s="12" t="s">
        <v>48</v>
      </c>
      <c r="B3" s="13" t="s">
        <v>49</v>
      </c>
      <c r="C3" s="12"/>
      <c r="D3" s="15" t="s">
        <v>43</v>
      </c>
      <c r="E3" s="12"/>
      <c r="F3" s="12"/>
      <c r="G3" s="12"/>
      <c r="H3" s="12"/>
      <c r="I3" s="12"/>
      <c r="J3" s="12"/>
      <c r="K3" s="12"/>
      <c r="L3" s="12"/>
      <c r="M3" s="12">
        <f t="shared" si="1"/>
        <v>1</v>
      </c>
    </row>
    <row r="4">
      <c r="A4" s="12" t="s">
        <v>50</v>
      </c>
      <c r="B4" s="13" t="s">
        <v>51</v>
      </c>
      <c r="C4" s="15" t="s">
        <v>43</v>
      </c>
      <c r="D4" s="15" t="s">
        <v>43</v>
      </c>
      <c r="E4" s="12"/>
      <c r="F4" s="12"/>
      <c r="G4" s="12"/>
      <c r="H4" s="12"/>
      <c r="I4" s="15" t="s">
        <v>43</v>
      </c>
      <c r="J4" s="12"/>
      <c r="K4" s="12"/>
      <c r="L4" s="12"/>
      <c r="M4" s="12">
        <f t="shared" si="1"/>
        <v>3</v>
      </c>
    </row>
    <row r="5">
      <c r="A5" s="12" t="s">
        <v>52</v>
      </c>
      <c r="B5" s="13" t="s">
        <v>53</v>
      </c>
      <c r="C5" s="12"/>
      <c r="D5" s="12"/>
      <c r="E5" s="15" t="s">
        <v>43</v>
      </c>
      <c r="F5" s="12"/>
      <c r="G5" s="12"/>
      <c r="H5" s="12"/>
      <c r="I5" s="12"/>
      <c r="J5" s="12"/>
      <c r="K5" s="12"/>
      <c r="L5" s="12"/>
      <c r="M5" s="12">
        <f t="shared" si="1"/>
        <v>1</v>
      </c>
    </row>
    <row r="6">
      <c r="A6" s="12" t="s">
        <v>54</v>
      </c>
      <c r="B6" s="13" t="s">
        <v>55</v>
      </c>
      <c r="C6" s="12"/>
      <c r="D6" s="12"/>
      <c r="E6" s="15" t="s">
        <v>43</v>
      </c>
      <c r="F6" s="12"/>
      <c r="G6" s="12"/>
      <c r="H6" s="12"/>
      <c r="I6" s="12"/>
      <c r="J6" s="12"/>
      <c r="K6" s="12"/>
      <c r="L6" s="12"/>
      <c r="M6" s="12">
        <f t="shared" si="1"/>
        <v>1</v>
      </c>
    </row>
    <row r="7">
      <c r="A7" s="12" t="s">
        <v>56</v>
      </c>
      <c r="B7" s="13" t="s">
        <v>57</v>
      </c>
      <c r="C7" s="15" t="s">
        <v>43</v>
      </c>
      <c r="D7" s="15" t="s">
        <v>43</v>
      </c>
      <c r="E7" s="12"/>
      <c r="F7" s="12"/>
      <c r="G7" s="12"/>
      <c r="H7" s="12"/>
      <c r="I7" s="12"/>
      <c r="J7" s="12"/>
      <c r="K7" s="12"/>
      <c r="L7" s="12"/>
      <c r="M7" s="12">
        <f t="shared" si="1"/>
        <v>2</v>
      </c>
    </row>
    <row r="8">
      <c r="A8" s="12" t="s">
        <v>58</v>
      </c>
      <c r="B8" s="13" t="s">
        <v>59</v>
      </c>
      <c r="C8" s="15" t="s">
        <v>43</v>
      </c>
      <c r="D8" s="12"/>
      <c r="E8" s="12"/>
      <c r="F8" s="12"/>
      <c r="G8" s="15" t="s">
        <v>43</v>
      </c>
      <c r="H8" s="12"/>
      <c r="I8" s="12"/>
      <c r="J8" s="12"/>
      <c r="K8" s="12"/>
      <c r="L8" s="12"/>
      <c r="M8" s="12">
        <f t="shared" si="1"/>
        <v>2</v>
      </c>
    </row>
    <row r="9">
      <c r="A9" s="12" t="s">
        <v>61</v>
      </c>
      <c r="B9" s="13" t="s">
        <v>62</v>
      </c>
      <c r="C9" s="12"/>
      <c r="D9" s="12"/>
      <c r="E9" s="15" t="s">
        <v>43</v>
      </c>
      <c r="F9" s="12"/>
      <c r="G9" s="12"/>
      <c r="H9" s="12"/>
      <c r="I9" s="15" t="s">
        <v>43</v>
      </c>
      <c r="J9" s="12"/>
      <c r="K9" s="12"/>
      <c r="L9" s="12"/>
      <c r="M9" s="12">
        <f t="shared" si="1"/>
        <v>2</v>
      </c>
    </row>
    <row r="10">
      <c r="A10" s="12" t="s">
        <v>63</v>
      </c>
      <c r="B10" s="13" t="s">
        <v>64</v>
      </c>
      <c r="C10" s="15" t="s">
        <v>43</v>
      </c>
      <c r="D10" s="12"/>
      <c r="E10" s="12"/>
      <c r="F10" s="12"/>
      <c r="G10" s="15" t="s">
        <v>43</v>
      </c>
      <c r="H10" s="12"/>
      <c r="I10" s="12"/>
      <c r="J10" s="12"/>
      <c r="K10" s="12"/>
      <c r="L10" s="12"/>
      <c r="M10" s="12">
        <f t="shared" si="1"/>
        <v>2</v>
      </c>
    </row>
    <row r="11">
      <c r="A11" s="12" t="s">
        <v>65</v>
      </c>
      <c r="B11" s="13" t="s">
        <v>66</v>
      </c>
      <c r="C11" s="15" t="s">
        <v>43</v>
      </c>
      <c r="D11" s="12"/>
      <c r="E11" s="12"/>
      <c r="F11" s="12"/>
      <c r="G11" s="12"/>
      <c r="H11" s="15" t="s">
        <v>43</v>
      </c>
      <c r="I11" s="12"/>
      <c r="J11" s="12"/>
      <c r="K11" s="12"/>
      <c r="L11" s="12"/>
      <c r="M11" s="12">
        <f t="shared" si="1"/>
        <v>2</v>
      </c>
    </row>
    <row r="12">
      <c r="A12" s="12" t="s">
        <v>67</v>
      </c>
      <c r="B12" s="13" t="s">
        <v>68</v>
      </c>
      <c r="C12" s="15" t="s">
        <v>43</v>
      </c>
      <c r="D12" s="12"/>
      <c r="E12" s="12"/>
      <c r="F12" s="12"/>
      <c r="G12" s="15" t="s">
        <v>43</v>
      </c>
      <c r="H12" s="12"/>
      <c r="I12" s="12"/>
      <c r="J12" s="12"/>
      <c r="K12" s="12"/>
      <c r="L12" s="12"/>
      <c r="M12" s="12">
        <f t="shared" si="1"/>
        <v>2</v>
      </c>
    </row>
    <row r="13">
      <c r="A13" s="12" t="s">
        <v>70</v>
      </c>
      <c r="B13" s="13" t="s">
        <v>71</v>
      </c>
      <c r="C13" s="12"/>
      <c r="D13" s="12"/>
      <c r="E13" s="12"/>
      <c r="F13" s="15" t="s">
        <v>43</v>
      </c>
      <c r="G13" s="12"/>
      <c r="H13" s="12"/>
      <c r="I13" s="12"/>
      <c r="J13" s="12"/>
      <c r="K13" s="12"/>
      <c r="L13" s="12"/>
      <c r="M13" s="12">
        <f t="shared" si="1"/>
        <v>1</v>
      </c>
    </row>
    <row r="14">
      <c r="A14" s="12" t="s">
        <v>72</v>
      </c>
      <c r="B14" s="13" t="s">
        <v>73</v>
      </c>
      <c r="C14" s="15" t="s">
        <v>43</v>
      </c>
      <c r="D14" s="15" t="s">
        <v>43</v>
      </c>
      <c r="E14" s="12"/>
      <c r="F14" s="12"/>
      <c r="G14" s="12"/>
      <c r="H14" s="12"/>
      <c r="I14" s="12"/>
      <c r="J14" s="12"/>
      <c r="K14" s="12"/>
      <c r="L14" s="12"/>
      <c r="M14" s="12">
        <f t="shared" si="1"/>
        <v>2</v>
      </c>
    </row>
    <row r="15">
      <c r="A15" s="12" t="s">
        <v>74</v>
      </c>
      <c r="B15" s="13" t="s">
        <v>75</v>
      </c>
      <c r="C15" s="12"/>
      <c r="D15" s="12"/>
      <c r="E15" s="15" t="s">
        <v>43</v>
      </c>
      <c r="F15" s="12"/>
      <c r="G15" s="12"/>
      <c r="H15" s="12"/>
      <c r="I15" s="12"/>
      <c r="J15" s="12"/>
      <c r="K15" s="12"/>
      <c r="L15" s="12"/>
      <c r="M15" s="12">
        <f t="shared" si="1"/>
        <v>1</v>
      </c>
    </row>
    <row r="16">
      <c r="A16" s="12" t="s">
        <v>76</v>
      </c>
      <c r="B16" s="13" t="s">
        <v>77</v>
      </c>
      <c r="C16" s="12"/>
      <c r="D16" s="12"/>
      <c r="E16" s="15" t="s">
        <v>43</v>
      </c>
      <c r="F16" s="12"/>
      <c r="G16" s="15" t="s">
        <v>43</v>
      </c>
      <c r="H16" s="12"/>
      <c r="I16" s="15" t="s">
        <v>43</v>
      </c>
      <c r="J16" s="12"/>
      <c r="K16" s="12"/>
      <c r="L16" s="12"/>
      <c r="M16" s="12">
        <f t="shared" si="1"/>
        <v>3</v>
      </c>
    </row>
    <row r="17">
      <c r="A17" s="12" t="s">
        <v>78</v>
      </c>
      <c r="B17" s="13" t="s">
        <v>79</v>
      </c>
      <c r="C17" s="12"/>
      <c r="D17" s="12"/>
      <c r="E17" s="12"/>
      <c r="F17" s="15" t="s">
        <v>43</v>
      </c>
      <c r="G17" s="12"/>
      <c r="H17" s="12"/>
      <c r="I17" s="12"/>
      <c r="J17" s="12"/>
      <c r="K17" s="12"/>
      <c r="L17" s="12"/>
      <c r="M17" s="12">
        <f t="shared" si="1"/>
        <v>1</v>
      </c>
    </row>
    <row r="18">
      <c r="A18" s="12" t="s">
        <v>80</v>
      </c>
      <c r="B18" s="13" t="s">
        <v>81</v>
      </c>
      <c r="C18" s="12"/>
      <c r="D18" s="12"/>
      <c r="E18" s="12"/>
      <c r="F18" s="12"/>
      <c r="G18" s="12"/>
      <c r="H18" s="15" t="s">
        <v>43</v>
      </c>
      <c r="I18" s="12"/>
      <c r="J18" s="12"/>
      <c r="K18" s="12"/>
      <c r="L18" s="12"/>
      <c r="M18" s="12">
        <f t="shared" si="1"/>
        <v>1</v>
      </c>
    </row>
    <row r="19">
      <c r="A19" s="12" t="s">
        <v>82</v>
      </c>
      <c r="B19" s="13" t="s">
        <v>83</v>
      </c>
      <c r="C19" s="15" t="s">
        <v>43</v>
      </c>
      <c r="D19" s="12"/>
      <c r="E19" s="12"/>
      <c r="F19" s="12"/>
      <c r="G19" s="15" t="s">
        <v>43</v>
      </c>
      <c r="H19" s="12"/>
      <c r="I19" s="12"/>
      <c r="J19" s="12"/>
      <c r="K19" s="12"/>
      <c r="L19" s="12"/>
      <c r="M19" s="12">
        <f t="shared" si="1"/>
        <v>2</v>
      </c>
    </row>
    <row r="20" ht="15.75" customHeight="1">
      <c r="A20" s="12" t="s">
        <v>84</v>
      </c>
      <c r="B20" s="13" t="s">
        <v>85</v>
      </c>
      <c r="C20" s="12"/>
      <c r="D20" s="12"/>
      <c r="E20" s="12"/>
      <c r="F20" s="18" t="s">
        <v>43</v>
      </c>
      <c r="G20" s="12"/>
      <c r="H20" s="12"/>
      <c r="I20" s="12"/>
      <c r="J20" s="12"/>
      <c r="K20" s="12"/>
      <c r="L20" s="12"/>
      <c r="M20" s="12">
        <f t="shared" si="1"/>
        <v>1</v>
      </c>
    </row>
    <row r="21" ht="15.75" customHeight="1">
      <c r="A21" s="12" t="s">
        <v>87</v>
      </c>
      <c r="B21" s="13" t="s">
        <v>88</v>
      </c>
      <c r="C21" s="12"/>
      <c r="D21" s="12"/>
      <c r="E21" s="18" t="s">
        <v>43</v>
      </c>
      <c r="F21" s="12"/>
      <c r="G21" s="12"/>
      <c r="H21" s="12"/>
      <c r="I21" s="12"/>
      <c r="J21" s="12"/>
      <c r="K21" s="12"/>
      <c r="L21" s="12"/>
      <c r="M21" s="12">
        <f t="shared" si="1"/>
        <v>1</v>
      </c>
    </row>
    <row r="22" ht="15.75" customHeight="1">
      <c r="A22" s="12" t="s">
        <v>89</v>
      </c>
      <c r="B22" s="13" t="s">
        <v>90</v>
      </c>
      <c r="C22" s="12"/>
      <c r="D22" s="12"/>
      <c r="E22" s="18" t="s">
        <v>43</v>
      </c>
      <c r="F22" s="12"/>
      <c r="G22" s="12"/>
      <c r="H22" s="12"/>
      <c r="I22" s="18" t="s">
        <v>43</v>
      </c>
      <c r="J22" s="12"/>
      <c r="K22" s="12"/>
      <c r="L22" s="12"/>
      <c r="M22" s="12">
        <f t="shared" si="1"/>
        <v>2</v>
      </c>
    </row>
    <row r="23" ht="15.75" customHeight="1">
      <c r="A23" s="12" t="s">
        <v>91</v>
      </c>
      <c r="B23" s="13" t="s">
        <v>92</v>
      </c>
      <c r="C23" s="18" t="s">
        <v>43</v>
      </c>
      <c r="D23" s="12"/>
      <c r="E23" s="12"/>
      <c r="F23" s="12"/>
      <c r="G23" s="12"/>
      <c r="H23" s="18" t="s">
        <v>43</v>
      </c>
      <c r="I23" s="12"/>
      <c r="J23" s="12"/>
      <c r="K23" s="12"/>
      <c r="L23" s="12"/>
      <c r="M23" s="12">
        <f t="shared" si="1"/>
        <v>2</v>
      </c>
    </row>
    <row r="24" ht="15.75" customHeight="1">
      <c r="A24" s="12" t="s">
        <v>93</v>
      </c>
      <c r="B24" s="13" t="s">
        <v>94</v>
      </c>
      <c r="C24" s="12"/>
      <c r="D24" s="18" t="s">
        <v>43</v>
      </c>
      <c r="E24" s="12"/>
      <c r="F24" s="12"/>
      <c r="G24" s="12"/>
      <c r="H24" s="12"/>
      <c r="I24" s="12"/>
      <c r="J24" s="12"/>
      <c r="K24" s="12"/>
      <c r="L24" s="12"/>
      <c r="M24" s="12">
        <f t="shared" si="1"/>
        <v>1</v>
      </c>
    </row>
    <row r="25" ht="15.75" customHeight="1">
      <c r="B25" s="8" t="s">
        <v>96</v>
      </c>
      <c r="C25" s="19">
        <f t="shared" ref="C25:L25" si="2">COUNTIF(C2:C24,"X")</f>
        <v>10</v>
      </c>
      <c r="D25" s="19">
        <f t="shared" si="2"/>
        <v>5</v>
      </c>
      <c r="E25" s="19">
        <f t="shared" si="2"/>
        <v>7</v>
      </c>
      <c r="F25" s="19">
        <f t="shared" si="2"/>
        <v>3</v>
      </c>
      <c r="G25" s="19">
        <f t="shared" si="2"/>
        <v>6</v>
      </c>
      <c r="H25" s="19">
        <f t="shared" si="2"/>
        <v>3</v>
      </c>
      <c r="I25" s="19">
        <f t="shared" si="2"/>
        <v>4</v>
      </c>
      <c r="J25" s="19">
        <f t="shared" si="2"/>
        <v>0</v>
      </c>
      <c r="K25" s="19">
        <f t="shared" si="2"/>
        <v>0</v>
      </c>
      <c r="L25" s="19">
        <f t="shared" si="2"/>
        <v>0</v>
      </c>
      <c r="M25" s="19">
        <f>SUM(C25:L25)</f>
        <v>38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$A$1:$M$24"/>
  <printOptions/>
  <pageMargins bottom="1.0" footer="0.0" header="0.0" left="0.75" right="0.75" top="1.0"/>
  <pageSetup paperSize="9" orientation="portrait"/>
  <drawing r:id="rId1"/>
</worksheet>
</file>